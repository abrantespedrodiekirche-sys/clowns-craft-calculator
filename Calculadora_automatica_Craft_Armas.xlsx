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ture Clowns\"/>
    </mc:Choice>
  </mc:AlternateContent>
  <xr:revisionPtr revIDLastSave="0" documentId="13_ncr:1_{9DE09278-00CF-4C43-AC31-935906316329}" xr6:coauthVersionLast="47" xr6:coauthVersionMax="47" xr10:uidLastSave="{00000000-0000-0000-0000-000000000000}"/>
  <bookViews>
    <workbookView xWindow="-120" yWindow="-120" windowWidth="21840" windowHeight="15720" xr2:uid="{E75F76B1-B725-44AF-B81D-34003EDFA3F0}"/>
  </bookViews>
  <sheets>
    <sheet name="Calculadora_automatica_Craft_Ar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2" l="1" a="1"/>
  <c r="C52" i="2" s="1"/>
  <c r="D52" i="2" a="1"/>
  <c r="D52" i="2" s="1"/>
  <c r="E52" i="2" a="1"/>
  <c r="E52" i="2" s="1"/>
  <c r="F52" i="2" a="1"/>
  <c r="F52" i="2" s="1"/>
  <c r="G52" i="2" a="1"/>
  <c r="G52" i="2" s="1"/>
  <c r="H52" i="2" a="1"/>
  <c r="H52" i="2" s="1"/>
  <c r="B52" i="2" a="1"/>
  <c r="B52" i="2" s="1"/>
  <c r="B53" i="2" a="1"/>
  <c r="B53" i="2" s="1"/>
  <c r="C53" i="2" a="1"/>
  <c r="C53" i="2" s="1"/>
  <c r="D53" i="2" a="1"/>
  <c r="D53" i="2" s="1"/>
  <c r="E53" i="2" a="1"/>
  <c r="E53" i="2" s="1"/>
  <c r="F53" i="2" a="1"/>
  <c r="F53" i="2" s="1"/>
  <c r="G53" i="2" a="1"/>
  <c r="G53" i="2" s="1"/>
  <c r="H53" i="2" a="1"/>
  <c r="H53" i="2" s="1"/>
  <c r="B8" i="1"/>
  <c r="C4" i="1" a="1"/>
  <c r="C4" i="1" s="1"/>
  <c r="C8" i="1" s="1"/>
  <c r="B37" i="2" a="1"/>
  <c r="B37" i="2" s="1"/>
  <c r="J27" i="2" s="1"/>
  <c r="B27" i="2" s="1" a="1"/>
  <c r="B13" i="1" l="1"/>
  <c r="D13" i="1"/>
  <c r="E13" i="1"/>
  <c r="C13" i="1"/>
  <c r="F13" i="1"/>
  <c r="G13" i="1"/>
  <c r="B27" i="2"/>
  <c r="B17" i="1" s="1"/>
  <c r="B18" i="1" s="1"/>
  <c r="C17" i="1"/>
  <c r="D17" i="1"/>
  <c r="D50" i="2" s="1"/>
  <c r="D40" i="1" s="1"/>
  <c r="E17" i="1"/>
  <c r="E50" i="2" s="1"/>
  <c r="E40" i="1" s="1"/>
  <c r="F17" i="1"/>
  <c r="F50" i="2" s="1"/>
  <c r="F40" i="1" s="1"/>
  <c r="G17" i="1"/>
  <c r="G50" i="2" s="1"/>
  <c r="G40" i="1" s="1"/>
  <c r="H17" i="1"/>
  <c r="H50" i="2" s="1"/>
  <c r="H40" i="1" s="1"/>
  <c r="J28" i="2"/>
  <c r="J29" i="2"/>
  <c r="J30" i="2"/>
  <c r="J31" i="2"/>
  <c r="J32" i="2"/>
  <c r="C50" i="2" l="1"/>
  <c r="C40" i="1" s="1"/>
  <c r="C18" i="1"/>
  <c r="B50" i="2"/>
  <c r="B40" i="1" s="1"/>
  <c r="D18" i="1"/>
  <c r="D51" i="2" s="1"/>
  <c r="D48" i="1" s="1"/>
  <c r="F18" i="1"/>
  <c r="F51" i="2" s="1"/>
  <c r="F48" i="1" s="1"/>
  <c r="G18" i="1"/>
  <c r="G51" i="2" s="1"/>
  <c r="G48" i="1" s="1"/>
  <c r="E18" i="1"/>
  <c r="E51" i="2" s="1"/>
  <c r="E48" i="1" s="1"/>
  <c r="B51" i="2"/>
  <c r="B48" i="1" s="1"/>
  <c r="H18" i="1"/>
  <c r="H51" i="2" s="1"/>
  <c r="H48" i="1" s="1"/>
  <c r="C51" i="2"/>
  <c r="C4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<sst xmlns="http://schemas.openxmlformats.org/spreadsheetml/2006/main" count="120" uniqueCount="46">
  <si>
    <t>Ferro</t>
  </si>
  <si>
    <t>Gatilho</t>
  </si>
  <si>
    <t>Mola</t>
  </si>
  <si>
    <t>Engrenagem</t>
  </si>
  <si>
    <t>Cano</t>
  </si>
  <si>
    <t>Corp</t>
  </si>
  <si>
    <t>Materias</t>
  </si>
  <si>
    <t>Carvao</t>
  </si>
  <si>
    <t>Prata</t>
  </si>
  <si>
    <t>Cobr</t>
  </si>
  <si>
    <t>Ouro</t>
  </si>
  <si>
    <t>Borracha</t>
  </si>
  <si>
    <t>Aluminio</t>
  </si>
  <si>
    <t>Quantidae de craft</t>
  </si>
  <si>
    <t>Armas</t>
  </si>
  <si>
    <t>Scar</t>
  </si>
  <si>
    <t>Revolver</t>
  </si>
  <si>
    <t>Musket</t>
  </si>
  <si>
    <t>QBZ</t>
  </si>
  <si>
    <t xml:space="preserve">Ferro </t>
  </si>
  <si>
    <t>Cobre</t>
  </si>
  <si>
    <t>Peças de arma</t>
  </si>
  <si>
    <t>Total pepitas:</t>
  </si>
  <si>
    <t>Total refinado:</t>
  </si>
  <si>
    <t>Total:</t>
  </si>
  <si>
    <t>Quantidade</t>
  </si>
  <si>
    <t>Preço</t>
  </si>
  <si>
    <t>Material mina</t>
  </si>
  <si>
    <t>Peças</t>
  </si>
  <si>
    <t>Farm pepitas</t>
  </si>
  <si>
    <t>Calculador mina</t>
  </si>
  <si>
    <t>Pepitas que tens</t>
  </si>
  <si>
    <t>Pepitas necessarias</t>
  </si>
  <si>
    <t>Refinado necessarias</t>
  </si>
  <si>
    <t>Farm Refinado</t>
  </si>
  <si>
    <t>Pepitas ou Baras</t>
  </si>
  <si>
    <t>Baras que tens</t>
  </si>
  <si>
    <t>86+407</t>
  </si>
  <si>
    <t>Pepitas</t>
  </si>
  <si>
    <t>Baras</t>
  </si>
  <si>
    <t>— podes escrever 50+68 na célula verde e a folha vai calcular o resultado automaticamente.</t>
  </si>
  <si>
    <r>
      <t xml:space="preserve">Só escreve nas células a verde a </t>
    </r>
    <r>
      <rPr>
        <b/>
        <sz val="16"/>
        <color theme="1"/>
        <rFont val="Aptos Narrow"/>
        <scheme val="minor"/>
      </rPr>
      <t>quantidade de armas</t>
    </r>
    <r>
      <rPr>
        <sz val="16"/>
        <color theme="1"/>
        <rFont val="Aptos Narrow"/>
        <scheme val="minor"/>
      </rPr>
      <t xml:space="preserve"> que vais craftar ou vender.</t>
    </r>
  </si>
  <si>
    <r>
      <t xml:space="preserve">O </t>
    </r>
    <r>
      <rPr>
        <b/>
        <sz val="16"/>
        <color theme="1"/>
        <rFont val="Aptos Narrow"/>
        <scheme val="minor"/>
      </rPr>
      <t>preço total</t>
    </r>
    <r>
      <rPr>
        <sz val="16"/>
        <color theme="1"/>
        <rFont val="Aptos Narrow"/>
        <scheme val="minor"/>
      </rPr>
      <t xml:space="preserve">, as </t>
    </r>
    <r>
      <rPr>
        <b/>
        <sz val="16"/>
        <color theme="1"/>
        <rFont val="Aptos Narrow"/>
        <scheme val="minor"/>
      </rPr>
      <t>peças de arma</t>
    </r>
    <r>
      <rPr>
        <sz val="16"/>
        <color theme="1"/>
        <rFont val="Aptos Narrow"/>
        <scheme val="minor"/>
      </rPr>
      <t xml:space="preserve"> e o </t>
    </r>
    <r>
      <rPr>
        <b/>
        <sz val="16"/>
        <color theme="1"/>
        <rFont val="Aptos Narrow"/>
        <scheme val="minor"/>
      </rPr>
      <t>material da mina</t>
    </r>
    <r>
      <rPr>
        <sz val="16"/>
        <color theme="1"/>
        <rFont val="Aptos Narrow"/>
        <scheme val="minor"/>
      </rPr>
      <t xml:space="preserve"> são calculados automaticamente.</t>
    </r>
  </si>
  <si>
    <r>
      <t xml:space="preserve">Só podes escrever nas células a </t>
    </r>
    <r>
      <rPr>
        <b/>
        <sz val="16"/>
        <color theme="1"/>
        <rFont val="Aptos Narrow"/>
        <scheme val="minor"/>
      </rPr>
      <t>verde</t>
    </r>
    <r>
      <rPr>
        <sz val="16"/>
        <color theme="1"/>
        <rFont val="Aptos Narrow"/>
        <scheme val="minor"/>
      </rPr>
      <t>.</t>
    </r>
  </si>
  <si>
    <r>
      <t xml:space="preserve">Se tiveres, por exemplo, uma carrinha com </t>
    </r>
    <r>
      <rPr>
        <b/>
        <sz val="16"/>
        <color theme="1"/>
        <rFont val="Aptos Narrow"/>
        <scheme val="minor"/>
      </rPr>
      <t>50 de cobre</t>
    </r>
    <r>
      <rPr>
        <sz val="16"/>
        <color theme="1"/>
        <rFont val="Aptos Narrow"/>
        <scheme val="minor"/>
      </rPr>
      <t xml:space="preserve"> e outra com </t>
    </r>
    <r>
      <rPr>
        <b/>
        <sz val="16"/>
        <color theme="1"/>
        <rFont val="Aptos Narrow"/>
        <scheme val="minor"/>
      </rPr>
      <t>68 de cobre</t>
    </r>
    <r>
      <rPr>
        <sz val="16"/>
        <color theme="1"/>
        <rFont val="Aptos Narrow"/>
        <scheme val="minor"/>
      </rPr>
      <t>, não precisas de fazer as contas</t>
    </r>
  </si>
  <si>
    <t>Total que 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</si>
</sst>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€-2]\ #,##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6"/>
      <color theme="1"/>
      <name val="Aptos Narrow"/>
      <scheme val="minor"/>
    </font>
    <font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8" xfId="0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/>
    <xf numFmtId="0" fontId="0" fillId="0" borderId="4" xfId="0" applyFill="1" applyBorder="1"/>
    <xf numFmtId="0" fontId="4" fillId="0" borderId="4" xfId="0" applyFont="1" applyFill="1" applyBorder="1"/>
    <xf numFmtId="0" fontId="4" fillId="3" borderId="4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4" borderId="0" xfId="0" applyFont="1" applyFill="1" applyAlignment="1">
      <alignment horizontal="center" vertical="center"/>
    </xf>
    <xf numFmtId="0" fontId="3" fillId="0" borderId="22" xfId="0" applyFont="1" applyBorder="1"/>
    <xf numFmtId="0" fontId="3" fillId="3" borderId="19" xfId="0" applyFont="1" applyFill="1" applyBorder="1"/>
    <xf numFmtId="164" fontId="3" fillId="0" borderId="23" xfId="1" applyNumberFormat="1" applyFont="1" applyBorder="1" applyAlignment="1">
      <alignment horizontal="right"/>
    </xf>
    <xf numFmtId="0" fontId="3" fillId="0" borderId="14" xfId="0" applyFont="1" applyBorder="1"/>
    <xf numFmtId="0" fontId="3" fillId="3" borderId="4" xfId="0" applyFont="1" applyFill="1" applyBorder="1"/>
    <xf numFmtId="164" fontId="3" fillId="0" borderId="15" xfId="1" applyNumberFormat="1" applyFont="1" applyBorder="1" applyAlignment="1">
      <alignment horizontal="right"/>
    </xf>
    <xf numFmtId="0" fontId="3" fillId="0" borderId="20" xfId="0" applyFont="1" applyBorder="1"/>
    <xf numFmtId="0" fontId="3" fillId="3" borderId="18" xfId="0" applyFont="1" applyFill="1" applyBorder="1"/>
    <xf numFmtId="164" fontId="3" fillId="0" borderId="21" xfId="1" applyNumberFormat="1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3" fillId="0" borderId="25" xfId="0" applyFont="1" applyBorder="1"/>
    <xf numFmtId="164" fontId="3" fillId="0" borderId="26" xfId="1" applyNumberFormat="1" applyFont="1" applyBorder="1" applyAlignment="1">
      <alignment horizontal="right"/>
    </xf>
    <xf numFmtId="0" fontId="5" fillId="0" borderId="16" xfId="0" applyFont="1" applyBorder="1"/>
    <xf numFmtId="0" fontId="5" fillId="0" borderId="4" xfId="0" applyFont="1" applyBorder="1" applyAlignment="1">
      <alignment horizontal="right"/>
    </xf>
    <xf numFmtId="0" fontId="3" fillId="0" borderId="4" xfId="0" applyFont="1" applyBorder="1"/>
    <xf numFmtId="0" fontId="5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2" borderId="0" xfId="0" applyFont="1" applyFill="1" applyBorder="1" applyAlignment="1">
      <alignment horizontal="center"/>
    </xf>
    <xf numFmtId="0" fontId="5" fillId="0" borderId="33" xfId="0" applyFont="1" applyFill="1" applyBorder="1"/>
    <xf numFmtId="0" fontId="5" fillId="0" borderId="34" xfId="0" applyFont="1" applyFill="1" applyBorder="1"/>
    <xf numFmtId="0" fontId="5" fillId="0" borderId="35" xfId="0" applyFont="1" applyFill="1" applyBorder="1"/>
    <xf numFmtId="0" fontId="3" fillId="0" borderId="18" xfId="0" applyFont="1" applyBorder="1" applyAlignment="1">
      <alignment horizontal="right"/>
    </xf>
    <xf numFmtId="3" fontId="3" fillId="6" borderId="39" xfId="0" applyNumberFormat="1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5" fillId="0" borderId="33" xfId="0" applyFont="1" applyBorder="1" applyAlignment="1">
      <alignment horizontal="right"/>
    </xf>
    <xf numFmtId="3" fontId="3" fillId="0" borderId="34" xfId="0" applyNumberFormat="1" applyFont="1" applyBorder="1"/>
    <xf numFmtId="3" fontId="3" fillId="0" borderId="35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Fill="1" applyBorder="1"/>
    <xf numFmtId="3" fontId="3" fillId="0" borderId="0" xfId="0" applyNumberFormat="1" applyFont="1" applyFill="1" applyBorder="1"/>
    <xf numFmtId="0" fontId="3" fillId="0" borderId="36" xfId="0" applyFont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3" fillId="3" borderId="38" xfId="0" applyFont="1" applyFill="1" applyBorder="1" applyAlignment="1">
      <alignment horizontal="right"/>
    </xf>
    <xf numFmtId="0" fontId="3" fillId="5" borderId="0" xfId="0" applyFont="1" applyFill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1501328</xdr:colOff>
      <xdr:row>3</xdr:row>
      <xdr:rowOff>19873</xdr:rowOff>
    </xdr:from>
    <xdr:to>
      <xdr:col>0</xdr:col>
      <xdr:colOff>1747158</xdr:colOff>
      <xdr:row>3</xdr:row>
      <xdr:rowOff>248055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D56646-6EE0-BAC5-47E2-AAC9837D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1328" y="798202"/>
          <a:ext cx="245830" cy="228182"/>
        </a:xfrm>
        <a:prstGeom prst="rect">
          <a:avLst/>
        </a:prstGeom>
      </xdr:spPr>
    </xdr:pic>
    <xdr:clientData/>
  </xdr:twoCellAnchor>
  <xdr:twoCellAnchor editAs="oneCell">
    <xdr:from>
      <xdr:col>0</xdr:col>
      <xdr:colOff>1503731</xdr:colOff>
      <xdr:row>4</xdr:row>
      <xdr:rowOff>28172</xdr:rowOff>
    </xdr:from>
    <xdr:to>
      <xdr:col>0</xdr:col>
      <xdr:colOff>1750786</xdr:colOff>
      <xdr:row>4</xdr:row>
      <xdr:rowOff>244927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A0B85C-EEE2-40F2-A29D-1A7FE0B5F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731" y="1073201"/>
          <a:ext cx="247055" cy="216755"/>
        </a:xfrm>
        <a:prstGeom prst="rect">
          <a:avLst/>
        </a:prstGeom>
      </xdr:spPr>
    </xdr:pic>
    <xdr:clientData/>
  </xdr:twoCellAnchor>
  <xdr:twoCellAnchor editAs="oneCell">
    <xdr:from>
      <xdr:col>0</xdr:col>
      <xdr:colOff>1503301</xdr:colOff>
      <xdr:row>5</xdr:row>
      <xdr:rowOff>18085</xdr:rowOff>
    </xdr:from>
    <xdr:to>
      <xdr:col>0</xdr:col>
      <xdr:colOff>1747156</xdr:colOff>
      <xdr:row>5</xdr:row>
      <xdr:rowOff>240331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99F53-AA67-E7E4-8DFB-268DCDD6E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3301" y="1318928"/>
          <a:ext cx="243855" cy="222246"/>
        </a:xfrm>
        <a:prstGeom prst="rect">
          <a:avLst/>
        </a:prstGeom>
      </xdr:spPr>
    </xdr:pic>
    <xdr:clientData/>
  </xdr:twoCellAnchor>
  <xdr:twoCellAnchor editAs="oneCell">
    <xdr:from>
      <xdr:col>0</xdr:col>
      <xdr:colOff>1496121</xdr:colOff>
      <xdr:row>6</xdr:row>
      <xdr:rowOff>25068</xdr:rowOff>
    </xdr:from>
    <xdr:to>
      <xdr:col>0</xdr:col>
      <xdr:colOff>1741714</xdr:colOff>
      <xdr:row>6</xdr:row>
      <xdr:rowOff>239963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75D43A-2619-1719-83E3-F341BA35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6121" y="1581725"/>
          <a:ext cx="245593" cy="214895"/>
        </a:xfrm>
        <a:prstGeom prst="rect">
          <a:avLst/>
        </a:prstGeom>
      </xdr:spPr>
    </xdr:pic>
    <xdr:clientData/>
  </xdr:twoCellAnchor>
  <xdr:twoCellAnchor editAs="oneCell">
    <xdr:from>
      <xdr:col>2</xdr:col>
      <xdr:colOff>45981</xdr:colOff>
      <xdr:row>17</xdr:row>
      <xdr:rowOff>25744</xdr:rowOff>
    </xdr:from>
    <xdr:to>
      <xdr:col>2</xdr:col>
      <xdr:colOff>289032</xdr:colOff>
      <xdr:row>17</xdr:row>
      <xdr:rowOff>235950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B18133-77F6-C252-5B78-5F5B4950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8378" y="4459796"/>
          <a:ext cx="243051" cy="210206"/>
        </a:xfrm>
        <a:prstGeom prst="rect">
          <a:avLst/>
        </a:prstGeom>
      </xdr:spPr>
    </xdr:pic>
    <xdr:clientData/>
  </xdr:twoCellAnchor>
  <xdr:twoCellAnchor editAs="oneCell">
    <xdr:from>
      <xdr:col>3</xdr:col>
      <xdr:colOff>26276</xdr:colOff>
      <xdr:row>17</xdr:row>
      <xdr:rowOff>32844</xdr:rowOff>
    </xdr:from>
    <xdr:to>
      <xdr:col>3</xdr:col>
      <xdr:colOff>249622</xdr:colOff>
      <xdr:row>17</xdr:row>
      <xdr:rowOff>243427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ABABD8-968D-5295-3354-458AF105E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0879" y="4466896"/>
          <a:ext cx="223346" cy="210583"/>
        </a:xfrm>
        <a:prstGeom prst="rect">
          <a:avLst/>
        </a:prstGeom>
      </xdr:spPr>
    </xdr:pic>
    <xdr:clientData/>
  </xdr:twoCellAnchor>
  <xdr:twoCellAnchor editAs="oneCell">
    <xdr:from>
      <xdr:col>1</xdr:col>
      <xdr:colOff>19709</xdr:colOff>
      <xdr:row>17</xdr:row>
      <xdr:rowOff>19709</xdr:rowOff>
    </xdr:from>
    <xdr:to>
      <xdr:col>1</xdr:col>
      <xdr:colOff>243051</xdr:colOff>
      <xdr:row>17</xdr:row>
      <xdr:rowOff>243051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355370-B5F0-E5CF-20D4-F9D706F1B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0192" y="4453761"/>
          <a:ext cx="223342" cy="223342"/>
        </a:xfrm>
        <a:prstGeom prst="rect">
          <a:avLst/>
        </a:prstGeom>
      </xdr:spPr>
    </xdr:pic>
    <xdr:clientData/>
  </xdr:twoCellAnchor>
  <xdr:twoCellAnchor editAs="oneCell">
    <xdr:from>
      <xdr:col>4</xdr:col>
      <xdr:colOff>26276</xdr:colOff>
      <xdr:row>17</xdr:row>
      <xdr:rowOff>19707</xdr:rowOff>
    </xdr:from>
    <xdr:to>
      <xdr:col>4</xdr:col>
      <xdr:colOff>269328</xdr:colOff>
      <xdr:row>17</xdr:row>
      <xdr:rowOff>235753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4C63AE5-12F8-D654-5AFB-AC7BCA6CA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91707" y="4453759"/>
          <a:ext cx="243052" cy="216046"/>
        </a:xfrm>
        <a:prstGeom prst="rect">
          <a:avLst/>
        </a:prstGeom>
      </xdr:spPr>
    </xdr:pic>
    <xdr:clientData/>
  </xdr:twoCellAnchor>
  <xdr:twoCellAnchor editAs="oneCell">
    <xdr:from>
      <xdr:col>5</xdr:col>
      <xdr:colOff>26278</xdr:colOff>
      <xdr:row>17</xdr:row>
      <xdr:rowOff>26276</xdr:rowOff>
    </xdr:from>
    <xdr:to>
      <xdr:col>5</xdr:col>
      <xdr:colOff>237233</xdr:colOff>
      <xdr:row>17</xdr:row>
      <xdr:rowOff>223885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009A4-EA40-C2B3-38F7-6702D98C2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55123" y="4460328"/>
          <a:ext cx="210955" cy="197609"/>
        </a:xfrm>
        <a:prstGeom prst="rect">
          <a:avLst/>
        </a:prstGeom>
      </xdr:spPr>
    </xdr:pic>
    <xdr:clientData/>
  </xdr:twoCellAnchor>
  <xdr:twoCellAnchor editAs="oneCell">
    <xdr:from>
      <xdr:col>6</xdr:col>
      <xdr:colOff>26276</xdr:colOff>
      <xdr:row>17</xdr:row>
      <xdr:rowOff>13139</xdr:rowOff>
    </xdr:from>
    <xdr:to>
      <xdr:col>6</xdr:col>
      <xdr:colOff>277908</xdr:colOff>
      <xdr:row>17</xdr:row>
      <xdr:rowOff>243051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07A57A-38E6-4C82-EFDF-0CF1F10E0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43397" y="4447191"/>
          <a:ext cx="251632" cy="229912"/>
        </a:xfrm>
        <a:prstGeom prst="rect">
          <a:avLst/>
        </a:prstGeom>
      </xdr:spPr>
    </xdr:pic>
    <xdr:clientData/>
  </xdr:twoCellAnchor>
  <xdr:twoCellAnchor editAs="oneCell">
    <xdr:from>
      <xdr:col>7</xdr:col>
      <xdr:colOff>32846</xdr:colOff>
      <xdr:row>17</xdr:row>
      <xdr:rowOff>19707</xdr:rowOff>
    </xdr:from>
    <xdr:to>
      <xdr:col>7</xdr:col>
      <xdr:colOff>269328</xdr:colOff>
      <xdr:row>17</xdr:row>
      <xdr:rowOff>243407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7036B6-081F-1A95-D11D-DA6F89F65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78363" y="4453759"/>
          <a:ext cx="236482" cy="2237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27591</xdr:colOff>
      <xdr:row>16</xdr:row>
      <xdr:rowOff>14452</xdr:rowOff>
    </xdr:from>
    <xdr:to>
      <xdr:col>7</xdr:col>
      <xdr:colOff>262759</xdr:colOff>
      <xdr:row>16</xdr:row>
      <xdr:rowOff>236909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B5FC4D9-E067-40B5-83FB-A06534AFF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73108" y="4192314"/>
          <a:ext cx="235168" cy="222457"/>
        </a:xfrm>
        <a:prstGeom prst="rect">
          <a:avLst/>
        </a:prstGeom>
      </xdr:spPr>
    </xdr:pic>
    <xdr:clientData/>
  </xdr:twoCellAnchor>
  <xdr:twoCellAnchor editAs="oneCell">
    <xdr:from>
      <xdr:col>1</xdr:col>
      <xdr:colOff>21023</xdr:colOff>
      <xdr:row>16</xdr:row>
      <xdr:rowOff>27592</xdr:rowOff>
    </xdr:from>
    <xdr:to>
      <xdr:col>1</xdr:col>
      <xdr:colOff>243051</xdr:colOff>
      <xdr:row>16</xdr:row>
      <xdr:rowOff>249620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D3EF5E0-2B21-4D7D-A4FE-FDEBF5B2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1506" y="4205454"/>
          <a:ext cx="222028" cy="222028"/>
        </a:xfrm>
        <a:prstGeom prst="rect">
          <a:avLst/>
        </a:prstGeom>
      </xdr:spPr>
    </xdr:pic>
    <xdr:clientData/>
  </xdr:twoCellAnchor>
  <xdr:twoCellAnchor editAs="oneCell">
    <xdr:from>
      <xdr:col>6</xdr:col>
      <xdr:colOff>968911</xdr:colOff>
      <xdr:row>11</xdr:row>
      <xdr:rowOff>11219</xdr:rowOff>
    </xdr:from>
    <xdr:to>
      <xdr:col>6</xdr:col>
      <xdr:colOff>1216817</xdr:colOff>
      <xdr:row>11</xdr:row>
      <xdr:rowOff>249621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3B62B67-441A-0CE3-3DBD-489F1D645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4273" y="2927840"/>
          <a:ext cx="247906" cy="238402"/>
        </a:xfrm>
        <a:prstGeom prst="rect">
          <a:avLst/>
        </a:prstGeom>
      </xdr:spPr>
    </xdr:pic>
    <xdr:clientData/>
  </xdr:twoCellAnchor>
  <xdr:twoCellAnchor editAs="oneCell">
    <xdr:from>
      <xdr:col>5</xdr:col>
      <xdr:colOff>570374</xdr:colOff>
      <xdr:row>11</xdr:row>
      <xdr:rowOff>14264</xdr:rowOff>
    </xdr:from>
    <xdr:to>
      <xdr:col>5</xdr:col>
      <xdr:colOff>813426</xdr:colOff>
      <xdr:row>11</xdr:row>
      <xdr:rowOff>244179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1BD7BBE-EB8C-68FE-9363-A3CC3230C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80674" y="2915307"/>
          <a:ext cx="243052" cy="229915"/>
        </a:xfrm>
        <a:prstGeom prst="rect">
          <a:avLst/>
        </a:prstGeom>
      </xdr:spPr>
    </xdr:pic>
    <xdr:clientData/>
  </xdr:twoCellAnchor>
  <xdr:twoCellAnchor editAs="oneCell">
    <xdr:from>
      <xdr:col>4</xdr:col>
      <xdr:colOff>1299433</xdr:colOff>
      <xdr:row>11</xdr:row>
      <xdr:rowOff>10880</xdr:rowOff>
    </xdr:from>
    <xdr:to>
      <xdr:col>4</xdr:col>
      <xdr:colOff>1551215</xdr:colOff>
      <xdr:row>11</xdr:row>
      <xdr:rowOff>243627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954B16B-4DA7-BDE1-A3D4-1650DA63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47633" y="2911923"/>
          <a:ext cx="251782" cy="232747"/>
        </a:xfrm>
        <a:prstGeom prst="rect">
          <a:avLst/>
        </a:prstGeom>
      </xdr:spPr>
    </xdr:pic>
    <xdr:clientData/>
  </xdr:twoCellAnchor>
  <xdr:twoCellAnchor editAs="oneCell">
    <xdr:from>
      <xdr:col>3</xdr:col>
      <xdr:colOff>553231</xdr:colOff>
      <xdr:row>11</xdr:row>
      <xdr:rowOff>17244</xdr:rowOff>
    </xdr:from>
    <xdr:to>
      <xdr:col>3</xdr:col>
      <xdr:colOff>814552</xdr:colOff>
      <xdr:row>11</xdr:row>
      <xdr:rowOff>250314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2452FFD-85FF-B423-724B-A0F68E02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63231" y="2933865"/>
          <a:ext cx="261321" cy="233070"/>
        </a:xfrm>
        <a:prstGeom prst="rect">
          <a:avLst/>
        </a:prstGeom>
      </xdr:spPr>
    </xdr:pic>
    <xdr:clientData/>
  </xdr:twoCellAnchor>
  <xdr:twoCellAnchor editAs="oneCell">
    <xdr:from>
      <xdr:col>2</xdr:col>
      <xdr:colOff>782279</xdr:colOff>
      <xdr:row>11</xdr:row>
      <xdr:rowOff>17859</xdr:rowOff>
    </xdr:from>
    <xdr:to>
      <xdr:col>2</xdr:col>
      <xdr:colOff>1037896</xdr:colOff>
      <xdr:row>11</xdr:row>
      <xdr:rowOff>245074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4EB6AAD-5416-2D9E-A1A4-C20263C7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34676" y="2934480"/>
          <a:ext cx="255617" cy="227215"/>
        </a:xfrm>
        <a:prstGeom prst="rect">
          <a:avLst/>
        </a:prstGeom>
      </xdr:spPr>
    </xdr:pic>
    <xdr:clientData/>
  </xdr:twoCellAnchor>
  <xdr:twoCellAnchor editAs="oneCell">
    <xdr:from>
      <xdr:col>1</xdr:col>
      <xdr:colOff>696407</xdr:colOff>
      <xdr:row>11</xdr:row>
      <xdr:rowOff>18370</xdr:rowOff>
    </xdr:from>
    <xdr:to>
      <xdr:col>1</xdr:col>
      <xdr:colOff>945931</xdr:colOff>
      <xdr:row>11</xdr:row>
      <xdr:rowOff>241627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810A413-83CB-DD4A-F069-7EDB575F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56890" y="2934991"/>
          <a:ext cx="249524" cy="223257"/>
        </a:xfrm>
        <a:prstGeom prst="rect">
          <a:avLst/>
        </a:prstGeom>
      </xdr:spPr>
    </xdr:pic>
    <xdr:clientData/>
  </xdr:twoCellAnchor>
  <xdr:twoCellAnchor editAs="oneCell">
    <xdr:from>
      <xdr:col>5</xdr:col>
      <xdr:colOff>21707</xdr:colOff>
      <xdr:row>16</xdr:row>
      <xdr:rowOff>32846</xdr:rowOff>
    </xdr:from>
    <xdr:to>
      <xdr:col>5</xdr:col>
      <xdr:colOff>236482</xdr:colOff>
      <xdr:row>16</xdr:row>
      <xdr:rowOff>237300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4CBA4B6-60B5-98EC-13A1-7320E91F4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50552" y="4210708"/>
          <a:ext cx="214775" cy="204454"/>
        </a:xfrm>
        <a:prstGeom prst="rect">
          <a:avLst/>
        </a:prstGeom>
      </xdr:spPr>
    </xdr:pic>
    <xdr:clientData/>
  </xdr:twoCellAnchor>
  <xdr:twoCellAnchor editAs="oneCell">
    <xdr:from>
      <xdr:col>4</xdr:col>
      <xdr:colOff>26276</xdr:colOff>
      <xdr:row>16</xdr:row>
      <xdr:rowOff>19707</xdr:rowOff>
    </xdr:from>
    <xdr:to>
      <xdr:col>4</xdr:col>
      <xdr:colOff>262759</xdr:colOff>
      <xdr:row>16</xdr:row>
      <xdr:rowOff>229914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D059428-31E0-422E-EF33-C64BFE8C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91707" y="4197569"/>
          <a:ext cx="236483" cy="210207"/>
        </a:xfrm>
        <a:prstGeom prst="rect">
          <a:avLst/>
        </a:prstGeom>
      </xdr:spPr>
    </xdr:pic>
    <xdr:clientData/>
  </xdr:twoCellAnchor>
  <xdr:twoCellAnchor editAs="oneCell">
    <xdr:from>
      <xdr:col>2</xdr:col>
      <xdr:colOff>45984</xdr:colOff>
      <xdr:row>16</xdr:row>
      <xdr:rowOff>13138</xdr:rowOff>
    </xdr:from>
    <xdr:to>
      <xdr:col>2</xdr:col>
      <xdr:colOff>282465</xdr:colOff>
      <xdr:row>16</xdr:row>
      <xdr:rowOff>233853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A83D65D-899C-2C7F-2FC3-E024CB20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98381" y="4191000"/>
          <a:ext cx="236481" cy="220715"/>
        </a:xfrm>
        <a:prstGeom prst="rect">
          <a:avLst/>
        </a:prstGeom>
      </xdr:spPr>
    </xdr:pic>
    <xdr:clientData/>
  </xdr:twoCellAnchor>
  <xdr:twoCellAnchor editAs="oneCell">
    <xdr:from>
      <xdr:col>3</xdr:col>
      <xdr:colOff>26277</xdr:colOff>
      <xdr:row>16</xdr:row>
      <xdr:rowOff>19707</xdr:rowOff>
    </xdr:from>
    <xdr:to>
      <xdr:col>3</xdr:col>
      <xdr:colOff>262355</xdr:colOff>
      <xdr:row>16</xdr:row>
      <xdr:rowOff>229914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64D7FFC-CE56-C86F-FC40-165B5DE5B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50880" y="4197569"/>
          <a:ext cx="236078" cy="210207"/>
        </a:xfrm>
        <a:prstGeom prst="rect">
          <a:avLst/>
        </a:prstGeom>
      </xdr:spPr>
    </xdr:pic>
    <xdr:clientData/>
  </xdr:twoCellAnchor>
  <xdr:twoCellAnchor editAs="oneCell">
    <xdr:from>
      <xdr:col>6</xdr:col>
      <xdr:colOff>32848</xdr:colOff>
      <xdr:row>16</xdr:row>
      <xdr:rowOff>19709</xdr:rowOff>
    </xdr:from>
    <xdr:to>
      <xdr:col>6</xdr:col>
      <xdr:colOff>281324</xdr:colOff>
      <xdr:row>16</xdr:row>
      <xdr:rowOff>216776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E630D32-0D6A-8924-6662-F98E53897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949969" y="4197571"/>
          <a:ext cx="248476" cy="197067"/>
        </a:xfrm>
        <a:prstGeom prst="rect">
          <a:avLst/>
        </a:prstGeom>
      </xdr:spPr>
    </xdr:pic>
    <xdr:clientData/>
  </xdr:twoCellAnchor>
  <xdr:twoCellAnchor editAs="oneCell">
    <xdr:from>
      <xdr:col>1</xdr:col>
      <xdr:colOff>739481</xdr:colOff>
      <xdr:row>37</xdr:row>
      <xdr:rowOff>14237</xdr:rowOff>
    </xdr:from>
    <xdr:to>
      <xdr:col>1</xdr:col>
      <xdr:colOff>972207</xdr:colOff>
      <xdr:row>37</xdr:row>
      <xdr:rowOff>246963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CFD96-5399-4A85-91E8-0873AEC9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9964" y="9598358"/>
          <a:ext cx="232726" cy="232726"/>
        </a:xfrm>
        <a:prstGeom prst="rect">
          <a:avLst/>
        </a:prstGeom>
      </xdr:spPr>
    </xdr:pic>
    <xdr:clientData/>
  </xdr:twoCellAnchor>
  <xdr:twoCellAnchor editAs="oneCell">
    <xdr:from>
      <xdr:col>2</xdr:col>
      <xdr:colOff>726770</xdr:colOff>
      <xdr:row>37</xdr:row>
      <xdr:rowOff>31614</xdr:rowOff>
    </xdr:from>
    <xdr:to>
      <xdr:col>2</xdr:col>
      <xdr:colOff>960350</xdr:colOff>
      <xdr:row>37</xdr:row>
      <xdr:rowOff>249621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49BEDE-0846-42B0-A232-385858CF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79167" y="9615735"/>
          <a:ext cx="233580" cy="218007"/>
        </a:xfrm>
        <a:prstGeom prst="rect">
          <a:avLst/>
        </a:prstGeom>
      </xdr:spPr>
    </xdr:pic>
    <xdr:clientData/>
  </xdr:twoCellAnchor>
  <xdr:twoCellAnchor editAs="oneCell">
    <xdr:from>
      <xdr:col>3</xdr:col>
      <xdr:colOff>576116</xdr:colOff>
      <xdr:row>37</xdr:row>
      <xdr:rowOff>19050</xdr:rowOff>
    </xdr:from>
    <xdr:to>
      <xdr:col>3</xdr:col>
      <xdr:colOff>827688</xdr:colOff>
      <xdr:row>37</xdr:row>
      <xdr:rowOff>243052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6695561-6AAC-4717-BC7D-FBE2ECCD5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00719" y="9603171"/>
          <a:ext cx="251572" cy="224002"/>
        </a:xfrm>
        <a:prstGeom prst="rect">
          <a:avLst/>
        </a:prstGeom>
      </xdr:spPr>
    </xdr:pic>
    <xdr:clientData/>
  </xdr:twoCellAnchor>
  <xdr:twoCellAnchor editAs="oneCell">
    <xdr:from>
      <xdr:col>4</xdr:col>
      <xdr:colOff>1282811</xdr:colOff>
      <xdr:row>37</xdr:row>
      <xdr:rowOff>20188</xdr:rowOff>
    </xdr:from>
    <xdr:to>
      <xdr:col>4</xdr:col>
      <xdr:colOff>1540922</xdr:colOff>
      <xdr:row>37</xdr:row>
      <xdr:rowOff>249620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6290734-1378-491C-B733-B262EBF5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30001" y="9604309"/>
          <a:ext cx="258111" cy="229432"/>
        </a:xfrm>
        <a:prstGeom prst="rect">
          <a:avLst/>
        </a:prstGeom>
      </xdr:spPr>
    </xdr:pic>
    <xdr:clientData/>
  </xdr:twoCellAnchor>
  <xdr:twoCellAnchor editAs="oneCell">
    <xdr:from>
      <xdr:col>5</xdr:col>
      <xdr:colOff>530435</xdr:colOff>
      <xdr:row>37</xdr:row>
      <xdr:rowOff>9997</xdr:rowOff>
    </xdr:from>
    <xdr:to>
      <xdr:col>5</xdr:col>
      <xdr:colOff>781833</xdr:colOff>
      <xdr:row>37</xdr:row>
      <xdr:rowOff>256189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113DB26-4BED-4CFC-B2D9-EDEE3E50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59280" y="9594118"/>
          <a:ext cx="251398" cy="246192"/>
        </a:xfrm>
        <a:prstGeom prst="rect">
          <a:avLst/>
        </a:prstGeom>
      </xdr:spPr>
    </xdr:pic>
    <xdr:clientData/>
  </xdr:twoCellAnchor>
  <xdr:twoCellAnchor editAs="oneCell">
    <xdr:from>
      <xdr:col>6</xdr:col>
      <xdr:colOff>933761</xdr:colOff>
      <xdr:row>37</xdr:row>
      <xdr:rowOff>18895</xdr:rowOff>
    </xdr:from>
    <xdr:to>
      <xdr:col>6</xdr:col>
      <xdr:colOff>1208691</xdr:colOff>
      <xdr:row>37</xdr:row>
      <xdr:rowOff>243240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4AEB5A3-0296-450D-B1D6-418F495FE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732640" y="9603016"/>
          <a:ext cx="274930" cy="224345"/>
        </a:xfrm>
        <a:prstGeom prst="rect">
          <a:avLst/>
        </a:prstGeom>
      </xdr:spPr>
    </xdr:pic>
    <xdr:clientData/>
  </xdr:twoCellAnchor>
  <xdr:twoCellAnchor editAs="oneCell">
    <xdr:from>
      <xdr:col>7</xdr:col>
      <xdr:colOff>969218</xdr:colOff>
      <xdr:row>37</xdr:row>
      <xdr:rowOff>23136</xdr:rowOff>
    </xdr:from>
    <xdr:to>
      <xdr:col>7</xdr:col>
      <xdr:colOff>1202121</xdr:colOff>
      <xdr:row>37</xdr:row>
      <xdr:rowOff>249760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9E1082C-6B35-40A2-B774-FDB92DF53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96494" y="9607257"/>
          <a:ext cx="232903" cy="226624"/>
        </a:xfrm>
        <a:prstGeom prst="rect">
          <a:avLst/>
        </a:prstGeom>
      </xdr:spPr>
    </xdr:pic>
    <xdr:clientData/>
  </xdr:twoCellAnchor>
  <xdr:twoCellAnchor editAs="oneCell">
    <xdr:from>
      <xdr:col>2</xdr:col>
      <xdr:colOff>694245</xdr:colOff>
      <xdr:row>45</xdr:row>
      <xdr:rowOff>14968</xdr:rowOff>
    </xdr:from>
    <xdr:to>
      <xdr:col>2</xdr:col>
      <xdr:colOff>965563</xdr:colOff>
      <xdr:row>45</xdr:row>
      <xdr:rowOff>249621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726E189-B0F6-4789-BB91-0C9003043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7521" y="11740571"/>
          <a:ext cx="271318" cy="234653"/>
        </a:xfrm>
        <a:prstGeom prst="rect">
          <a:avLst/>
        </a:prstGeom>
      </xdr:spPr>
    </xdr:pic>
    <xdr:clientData/>
  </xdr:twoCellAnchor>
  <xdr:twoCellAnchor editAs="oneCell">
    <xdr:from>
      <xdr:col>3</xdr:col>
      <xdr:colOff>595898</xdr:colOff>
      <xdr:row>45</xdr:row>
      <xdr:rowOff>17454</xdr:rowOff>
    </xdr:from>
    <xdr:to>
      <xdr:col>3</xdr:col>
      <xdr:colOff>828201</xdr:colOff>
      <xdr:row>45</xdr:row>
      <xdr:rowOff>236483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F56F7F5-0E94-4D5D-9F96-5E027795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0501" y="11743057"/>
          <a:ext cx="232303" cy="219029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1272880</xdr:colOff>
      <xdr:row>45</xdr:row>
      <xdr:rowOff>22898</xdr:rowOff>
    </xdr:from>
    <xdr:to>
      <xdr:col>4</xdr:col>
      <xdr:colOff>1537138</xdr:colOff>
      <xdr:row>45</xdr:row>
      <xdr:rowOff>257794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67CD438-1ED8-4340-B17F-54A5F70D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20070" y="11748501"/>
          <a:ext cx="264258" cy="234896"/>
        </a:xfrm>
        <a:prstGeom prst="rect">
          <a:avLst/>
        </a:prstGeom>
      </xdr:spPr>
    </xdr:pic>
    <xdr:clientData/>
  </xdr:twoCellAnchor>
  <xdr:twoCellAnchor editAs="oneCell">
    <xdr:from>
      <xdr:col>5</xdr:col>
      <xdr:colOff>523265</xdr:colOff>
      <xdr:row>45</xdr:row>
      <xdr:rowOff>22897</xdr:rowOff>
    </xdr:from>
    <xdr:to>
      <xdr:col>5</xdr:col>
      <xdr:colOff>775138</xdr:colOff>
      <xdr:row>45</xdr:row>
      <xdr:rowOff>258835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87F7A9D-2ADF-406B-A6E7-C6BA61DF6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33868" y="11748500"/>
          <a:ext cx="251873" cy="235938"/>
        </a:xfrm>
        <a:prstGeom prst="rect">
          <a:avLst/>
        </a:prstGeom>
      </xdr:spPr>
    </xdr:pic>
    <xdr:clientData/>
  </xdr:twoCellAnchor>
  <xdr:twoCellAnchor editAs="oneCell">
    <xdr:from>
      <xdr:col>6</xdr:col>
      <xdr:colOff>964135</xdr:colOff>
      <xdr:row>45</xdr:row>
      <xdr:rowOff>22897</xdr:rowOff>
    </xdr:from>
    <xdr:to>
      <xdr:col>6</xdr:col>
      <xdr:colOff>1215258</xdr:colOff>
      <xdr:row>45</xdr:row>
      <xdr:rowOff>252344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96C31A1-8C29-4709-A0BF-31E47AB1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3014" y="11748500"/>
          <a:ext cx="251123" cy="229447"/>
        </a:xfrm>
        <a:prstGeom prst="rect">
          <a:avLst/>
        </a:prstGeom>
      </xdr:spPr>
    </xdr:pic>
    <xdr:clientData/>
  </xdr:twoCellAnchor>
  <xdr:twoCellAnchor editAs="oneCell">
    <xdr:from>
      <xdr:col>7</xdr:col>
      <xdr:colOff>965713</xdr:colOff>
      <xdr:row>45</xdr:row>
      <xdr:rowOff>21435</xdr:rowOff>
    </xdr:from>
    <xdr:to>
      <xdr:col>7</xdr:col>
      <xdr:colOff>1208689</xdr:colOff>
      <xdr:row>45</xdr:row>
      <xdr:rowOff>257860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7AF112C-E7E2-49CB-9E0C-F7FD83B02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92989" y="11747038"/>
          <a:ext cx="242976" cy="236425"/>
        </a:xfrm>
        <a:prstGeom prst="rect">
          <a:avLst/>
        </a:prstGeom>
      </xdr:spPr>
    </xdr:pic>
    <xdr:clientData/>
  </xdr:twoCellAnchor>
  <xdr:twoCellAnchor editAs="oneCell">
    <xdr:from>
      <xdr:col>1</xdr:col>
      <xdr:colOff>744316</xdr:colOff>
      <xdr:row>45</xdr:row>
      <xdr:rowOff>20372</xdr:rowOff>
    </xdr:from>
    <xdr:to>
      <xdr:col>1</xdr:col>
      <xdr:colOff>978776</xdr:colOff>
      <xdr:row>45</xdr:row>
      <xdr:rowOff>254832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729C298-24E5-4D5A-8108-D9798ED0E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04799" y="11745975"/>
          <a:ext cx="234460" cy="234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45FC-E4BC-4101-B2D8-9459D4DDB9ED}">
  <dimension ref="A1:O53"/>
  <sheetViews>
    <sheetView tabSelected="1" topLeftCell="A22" zoomScaleNormal="100" workbookViewId="0">
      <selection activeCell="A35" sqref="A35:H35"/>
    </sheetView>
  </sheetViews>
  <sheetFormatPr defaultRowHeight="14.25"/>
  <cols>
    <col min="1" max="1" width="23.875" bestFit="1" customWidth="1"/>
    <col min="2" max="2" width="13" customWidth="1"/>
    <col min="3" max="3" width="13.875" customWidth="1"/>
    <col min="4" max="4" width="11" customWidth="1"/>
    <col min="5" max="5" width="20.5" customWidth="1"/>
    <col min="6" max="6" width="10.75" customWidth="1"/>
    <col min="7" max="8" width="16.125" customWidth="1"/>
    <col min="9" max="9" width="8.625" customWidth="1"/>
    <col min="10" max="10" width="7.875" customWidth="1"/>
    <col min="13" max="13" width="6" customWidth="1"/>
  </cols>
  <sheetData>
    <row r="1" spans="1:15" ht="20.25">
      <c r="A1" s="21" t="s">
        <v>25</v>
      </c>
      <c r="B1" s="22"/>
      <c r="C1" s="18" t="s">
        <v>26</v>
      </c>
      <c r="D1" s="39"/>
      <c r="E1" s="40"/>
      <c r="F1" s="41"/>
      <c r="G1" s="41"/>
      <c r="H1" s="41"/>
      <c r="I1" s="41"/>
      <c r="J1" s="41"/>
      <c r="K1" s="41"/>
    </row>
    <row r="2" spans="1:15" ht="20.25">
      <c r="A2" s="23"/>
      <c r="B2" s="24"/>
      <c r="C2" s="19"/>
      <c r="D2" s="39"/>
      <c r="E2" s="42" t="s">
        <v>41</v>
      </c>
      <c r="F2" s="42"/>
      <c r="G2" s="42"/>
      <c r="H2" s="42"/>
      <c r="I2" s="42"/>
      <c r="J2" s="42"/>
      <c r="K2" s="42"/>
      <c r="L2" s="42"/>
      <c r="M2" s="42"/>
      <c r="N2" s="42"/>
      <c r="O2" s="78"/>
    </row>
    <row r="3" spans="1:15" ht="21" thickBot="1">
      <c r="A3" s="25"/>
      <c r="B3" s="26"/>
      <c r="C3" s="20"/>
      <c r="D3" s="41"/>
      <c r="E3" s="42" t="s">
        <v>42</v>
      </c>
      <c r="F3" s="42"/>
      <c r="G3" s="42"/>
      <c r="H3" s="42"/>
      <c r="I3" s="42"/>
      <c r="J3" s="42"/>
      <c r="K3" s="42"/>
      <c r="L3" s="42"/>
      <c r="M3" s="42"/>
      <c r="N3" s="42"/>
    </row>
    <row r="4" spans="1:15" ht="21" thickTop="1">
      <c r="A4" s="43" t="s">
        <v>15</v>
      </c>
      <c r="B4" s="44">
        <v>5</v>
      </c>
      <c r="C4" s="45" cm="1">
        <f t="array" ref="C4:C7">B4:B7*Info!H15:H18</f>
        <v>0</v>
      </c>
      <c r="D4" s="41"/>
      <c r="E4" s="41"/>
      <c r="F4" s="41"/>
      <c r="G4" s="41"/>
      <c r="H4" s="41"/>
      <c r="I4" s="41"/>
      <c r="J4" s="41"/>
      <c r="K4" s="41"/>
    </row>
    <row r="5" spans="1:15" ht="20.25">
      <c r="A5" s="46" t="s">
        <v>16</v>
      </c>
      <c r="B5" s="47"/>
      <c r="C5" s="48">
        <v>0</v>
      </c>
      <c r="D5" s="41"/>
      <c r="E5" s="41"/>
      <c r="F5" s="41"/>
      <c r="G5" s="41"/>
      <c r="H5" s="41"/>
      <c r="I5" s="41"/>
      <c r="J5" s="41"/>
      <c r="K5" s="41"/>
    </row>
    <row r="6" spans="1:15" ht="20.25">
      <c r="A6" s="46" t="s">
        <v>17</v>
      </c>
      <c r="B6" s="47"/>
      <c r="C6" s="48">
        <v>0</v>
      </c>
      <c r="D6" s="41"/>
      <c r="E6" s="41"/>
      <c r="F6" s="41"/>
      <c r="G6" s="41"/>
      <c r="H6" s="41"/>
      <c r="I6" s="41"/>
      <c r="J6" s="41"/>
      <c r="K6" s="41"/>
    </row>
    <row r="7" spans="1:15" ht="21" thickBot="1">
      <c r="A7" s="49" t="s">
        <v>18</v>
      </c>
      <c r="B7" s="50"/>
      <c r="C7" s="51">
        <v>0</v>
      </c>
      <c r="D7" s="41"/>
      <c r="E7" s="41"/>
      <c r="F7" s="41"/>
      <c r="G7" s="41"/>
      <c r="H7" s="41"/>
      <c r="I7" s="41"/>
      <c r="J7" s="41"/>
      <c r="K7" s="41"/>
    </row>
    <row r="8" spans="1:15" ht="21.75" thickTop="1" thickBot="1">
      <c r="A8" s="52" t="s">
        <v>24</v>
      </c>
      <c r="B8" s="53">
        <f>SUM(B4:B7)</f>
        <v>5</v>
      </c>
      <c r="C8" s="54">
        <f>SUM(C4:C7)</f>
        <v>0</v>
      </c>
      <c r="D8" s="41"/>
      <c r="E8" s="41"/>
      <c r="F8" s="41"/>
      <c r="G8" s="41"/>
      <c r="H8" s="41"/>
      <c r="I8" s="41"/>
      <c r="J8" s="41"/>
      <c r="K8" s="41"/>
    </row>
    <row r="9" spans="1:15" ht="21" thickTop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5" ht="21" thickBo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spans="1:15" ht="21" thickBot="1">
      <c r="A11" s="41"/>
      <c r="B11" s="15" t="s">
        <v>21</v>
      </c>
      <c r="C11" s="16"/>
      <c r="D11" s="16"/>
      <c r="E11" s="16"/>
      <c r="F11" s="16"/>
      <c r="G11" s="17"/>
      <c r="H11" s="41"/>
      <c r="I11" s="41"/>
      <c r="J11" s="41"/>
      <c r="K11" s="41"/>
    </row>
    <row r="12" spans="1:15" ht="20.25">
      <c r="A12" s="41"/>
      <c r="B12" s="55" t="s">
        <v>0</v>
      </c>
      <c r="C12" s="55" t="s">
        <v>1</v>
      </c>
      <c r="D12" s="55" t="s">
        <v>2</v>
      </c>
      <c r="E12" s="55" t="s">
        <v>3</v>
      </c>
      <c r="F12" s="55" t="s">
        <v>4</v>
      </c>
      <c r="G12" s="55" t="s">
        <v>5</v>
      </c>
      <c r="H12" s="41"/>
      <c r="I12" s="41"/>
      <c r="J12" s="41"/>
      <c r="K12" s="41"/>
    </row>
    <row r="13" spans="1:15" ht="20.25">
      <c r="A13" s="56" t="s">
        <v>24</v>
      </c>
      <c r="B13" s="57">
        <f>SUM(Info!B37:B40)</f>
        <v>5</v>
      </c>
      <c r="C13" s="57">
        <f>SUM(Info!C37:C40)</f>
        <v>5</v>
      </c>
      <c r="D13" s="57">
        <f>SUM(Info!D37:D40)</f>
        <v>5</v>
      </c>
      <c r="E13" s="57">
        <f>SUM(Info!E37:E40)</f>
        <v>5</v>
      </c>
      <c r="F13" s="57">
        <f>SUM(Info!F37:F40)</f>
        <v>5</v>
      </c>
      <c r="G13" s="57">
        <f>SUM(Info!G37:G40)</f>
        <v>5</v>
      </c>
      <c r="H13" s="41"/>
      <c r="I13" s="41"/>
      <c r="J13" s="41"/>
      <c r="K13" s="41"/>
    </row>
    <row r="14" spans="1:15" ht="21" thickBo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</row>
    <row r="15" spans="1:15" ht="21" thickBot="1">
      <c r="A15" s="41"/>
      <c r="B15" s="12" t="s">
        <v>27</v>
      </c>
      <c r="C15" s="13"/>
      <c r="D15" s="13"/>
      <c r="E15" s="13"/>
      <c r="F15" s="13"/>
      <c r="G15" s="13"/>
      <c r="H15" s="14"/>
      <c r="I15" s="41"/>
      <c r="J15" s="41"/>
      <c r="K15" s="41"/>
    </row>
    <row r="16" spans="1:15" ht="16.5" customHeight="1">
      <c r="A16" s="41"/>
      <c r="B16" s="55" t="s">
        <v>7</v>
      </c>
      <c r="C16" s="55" t="s">
        <v>19</v>
      </c>
      <c r="D16" s="55" t="s">
        <v>8</v>
      </c>
      <c r="E16" s="55" t="s">
        <v>20</v>
      </c>
      <c r="F16" s="55" t="s">
        <v>10</v>
      </c>
      <c r="G16" s="55" t="s">
        <v>12</v>
      </c>
      <c r="H16" s="55" t="s">
        <v>11</v>
      </c>
      <c r="I16" s="41"/>
      <c r="J16" s="41"/>
      <c r="K16" s="41"/>
    </row>
    <row r="17" spans="1:11" ht="20.25">
      <c r="A17" s="58" t="s">
        <v>22</v>
      </c>
      <c r="B17" s="59">
        <f>SUM(Info!B27:B32)</f>
        <v>240</v>
      </c>
      <c r="C17" s="59">
        <f>SUM(Info!C27:C32)</f>
        <v>400</v>
      </c>
      <c r="D17" s="59">
        <f>SUM(Info!D27:D32)</f>
        <v>400</v>
      </c>
      <c r="E17" s="59">
        <f>SUM(Info!E27:E32)</f>
        <v>300</v>
      </c>
      <c r="F17" s="59">
        <f>SUM(Info!F27:F32)</f>
        <v>600</v>
      </c>
      <c r="G17" s="59">
        <f>SUM(Info!G27:G32)</f>
        <v>200</v>
      </c>
      <c r="H17" s="59">
        <f>SUM(Info!H27:H32)</f>
        <v>20</v>
      </c>
      <c r="I17" s="41"/>
      <c r="J17" s="41"/>
      <c r="K17" s="41"/>
    </row>
    <row r="18" spans="1:11" ht="20.25">
      <c r="A18" s="56" t="s">
        <v>23</v>
      </c>
      <c r="B18" s="57">
        <f>B17</f>
        <v>240</v>
      </c>
      <c r="C18" s="57">
        <f>C17/10</f>
        <v>40</v>
      </c>
      <c r="D18" s="57">
        <f t="shared" ref="D18:G18" si="0">D17/10</f>
        <v>40</v>
      </c>
      <c r="E18" s="57">
        <f t="shared" si="0"/>
        <v>30</v>
      </c>
      <c r="F18" s="57">
        <f t="shared" si="0"/>
        <v>60</v>
      </c>
      <c r="G18" s="57">
        <f t="shared" si="0"/>
        <v>20</v>
      </c>
      <c r="H18" s="57">
        <f>H17</f>
        <v>20</v>
      </c>
      <c r="I18" s="41"/>
      <c r="J18" s="41"/>
      <c r="K18" s="41"/>
    </row>
    <row r="19" spans="1:11" ht="2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1:11" ht="2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spans="1:11" ht="20.25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</row>
    <row r="22" spans="1:11" ht="20.25">
      <c r="A22" s="40"/>
      <c r="B22" s="40"/>
      <c r="C22" s="41"/>
      <c r="D22" s="41"/>
      <c r="E22" s="41"/>
      <c r="F22" s="41"/>
      <c r="G22" s="41"/>
      <c r="H22" s="41"/>
      <c r="I22" s="41"/>
      <c r="J22" s="41"/>
      <c r="K22" s="41"/>
    </row>
    <row r="23" spans="1:11" ht="2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1:11" ht="2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1:11" ht="2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11" ht="2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1:11" ht="2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1:11" ht="2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spans="1:11" ht="2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</row>
    <row r="30" spans="1:11" ht="2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spans="1:11" ht="2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spans="1:11" ht="2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ht="2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</row>
    <row r="34" spans="1:11" ht="2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spans="1:11" ht="20.25">
      <c r="A35" s="60" t="s">
        <v>30</v>
      </c>
      <c r="B35" s="60"/>
      <c r="C35" s="60"/>
      <c r="D35" s="60"/>
      <c r="E35" s="60"/>
      <c r="F35" s="60"/>
      <c r="G35" s="60"/>
      <c r="H35" s="60"/>
      <c r="I35" s="41"/>
      <c r="J35" s="41"/>
      <c r="K35" s="41"/>
    </row>
    <row r="36" spans="1:11" ht="21" thickBo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11" ht="21" thickBot="1">
      <c r="A37" s="41"/>
      <c r="B37" s="36" t="s">
        <v>38</v>
      </c>
      <c r="C37" s="37"/>
      <c r="D37" s="37"/>
      <c r="E37" s="37"/>
      <c r="F37" s="37"/>
      <c r="G37" s="37"/>
      <c r="H37" s="38"/>
      <c r="I37" s="41"/>
      <c r="J37" s="41"/>
      <c r="K37" s="41"/>
    </row>
    <row r="38" spans="1:11" ht="21" thickBot="1">
      <c r="A38" s="41"/>
      <c r="B38" s="61" t="s">
        <v>7</v>
      </c>
      <c r="C38" s="62" t="s">
        <v>19</v>
      </c>
      <c r="D38" s="62" t="s">
        <v>8</v>
      </c>
      <c r="E38" s="62" t="s">
        <v>20</v>
      </c>
      <c r="F38" s="62" t="s">
        <v>10</v>
      </c>
      <c r="G38" s="62" t="s">
        <v>12</v>
      </c>
      <c r="H38" s="63" t="s">
        <v>11</v>
      </c>
      <c r="I38" s="41"/>
      <c r="J38" s="41"/>
      <c r="K38" s="41"/>
    </row>
    <row r="39" spans="1:11" ht="21" thickBot="1">
      <c r="A39" s="64" t="s">
        <v>31</v>
      </c>
      <c r="B39" s="65">
        <v>493</v>
      </c>
      <c r="C39" s="66"/>
      <c r="D39" s="66">
        <v>494</v>
      </c>
      <c r="E39" s="66"/>
      <c r="F39" s="66" t="s">
        <v>37</v>
      </c>
      <c r="G39" s="66">
        <v>200</v>
      </c>
      <c r="H39" s="66"/>
      <c r="I39" s="41"/>
      <c r="J39" s="41"/>
      <c r="K39" s="41"/>
    </row>
    <row r="40" spans="1:11" ht="21" thickBot="1">
      <c r="A40" s="67" t="s">
        <v>45</v>
      </c>
      <c r="B40" s="68">
        <f>Info!B52-Info!B50</f>
        <v>253</v>
      </c>
      <c r="C40" s="68">
        <f>Info!C52-Info!C50</f>
        <v>-400</v>
      </c>
      <c r="D40" s="68">
        <f>Info!D52-Info!D50</f>
        <v>94</v>
      </c>
      <c r="E40" s="68">
        <f>Info!E52-Info!E50</f>
        <v>-300</v>
      </c>
      <c r="F40" s="68">
        <f>Info!F52-Info!F50</f>
        <v>-107</v>
      </c>
      <c r="G40" s="68">
        <f>Info!G52-Info!G50</f>
        <v>0</v>
      </c>
      <c r="H40" s="69">
        <f>Info!H52-Info!H50</f>
        <v>-20</v>
      </c>
      <c r="I40" s="41"/>
      <c r="J40" s="41"/>
      <c r="K40" s="41"/>
    </row>
    <row r="41" spans="1:11" ht="2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</row>
    <row r="42" spans="1:11" ht="21" thickBo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spans="1:11" ht="21" thickBot="1">
      <c r="A43" s="70" t="s">
        <v>35</v>
      </c>
      <c r="B43" s="71"/>
      <c r="C43" s="71"/>
      <c r="D43" s="71"/>
      <c r="E43" s="71"/>
      <c r="F43" s="71"/>
      <c r="G43" s="71"/>
      <c r="H43" s="72"/>
      <c r="I43" s="41"/>
      <c r="J43" s="41"/>
      <c r="K43" s="41"/>
    </row>
    <row r="44" spans="1:11" ht="21" thickBot="1">
      <c r="A44" s="73"/>
      <c r="B44" s="74"/>
      <c r="C44" s="73"/>
      <c r="D44" s="73"/>
      <c r="E44" s="73"/>
      <c r="F44" s="73"/>
      <c r="G44" s="73"/>
      <c r="H44" s="73"/>
      <c r="I44" s="41"/>
      <c r="J44" s="41"/>
      <c r="K44" s="41"/>
    </row>
    <row r="45" spans="1:11" ht="21" thickBot="1">
      <c r="A45" s="41"/>
      <c r="B45" s="36" t="s">
        <v>39</v>
      </c>
      <c r="C45" s="37"/>
      <c r="D45" s="37"/>
      <c r="E45" s="37"/>
      <c r="F45" s="37"/>
      <c r="G45" s="37"/>
      <c r="H45" s="38"/>
      <c r="I45" s="41"/>
      <c r="J45" s="41"/>
      <c r="K45" s="41"/>
    </row>
    <row r="46" spans="1:11" ht="21" thickBot="1">
      <c r="A46" s="41"/>
      <c r="B46" s="61" t="s">
        <v>7</v>
      </c>
      <c r="C46" s="62" t="s">
        <v>19</v>
      </c>
      <c r="D46" s="62" t="s">
        <v>8</v>
      </c>
      <c r="E46" s="62" t="s">
        <v>20</v>
      </c>
      <c r="F46" s="62" t="s">
        <v>10</v>
      </c>
      <c r="G46" s="62" t="s">
        <v>12</v>
      </c>
      <c r="H46" s="63" t="s">
        <v>11</v>
      </c>
      <c r="I46" s="41"/>
      <c r="J46" s="41"/>
      <c r="K46" s="41"/>
    </row>
    <row r="47" spans="1:11" ht="20.25" customHeight="1" thickBot="1">
      <c r="A47" s="75" t="s">
        <v>36</v>
      </c>
      <c r="B47" s="76"/>
      <c r="C47" s="76"/>
      <c r="D47" s="76"/>
      <c r="E47" s="76"/>
      <c r="F47" s="76"/>
      <c r="G47" s="76"/>
      <c r="H47" s="77"/>
      <c r="I47" s="41"/>
      <c r="J47" s="41"/>
      <c r="K47" s="41"/>
    </row>
    <row r="48" spans="1:11" ht="21" thickBot="1">
      <c r="A48" s="67" t="s">
        <v>45</v>
      </c>
      <c r="B48" s="68">
        <f>Info!B53-Info!B51</f>
        <v>-240</v>
      </c>
      <c r="C48" s="68">
        <f>Info!C53-Info!C51</f>
        <v>-40</v>
      </c>
      <c r="D48" s="68">
        <f>Info!D53-Info!D51</f>
        <v>-40</v>
      </c>
      <c r="E48" s="68">
        <f>Info!E53-Info!E51</f>
        <v>-30</v>
      </c>
      <c r="F48" s="68">
        <f>Info!F53-Info!F51</f>
        <v>-60</v>
      </c>
      <c r="G48" s="68">
        <f>Info!G53-Info!G51</f>
        <v>-20</v>
      </c>
      <c r="H48" s="68">
        <f>Info!H53-Info!H51</f>
        <v>-20</v>
      </c>
      <c r="I48" s="41"/>
      <c r="J48" s="41"/>
      <c r="K48" s="41"/>
    </row>
    <row r="49" spans="1:14" ht="2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spans="1:14" ht="2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</row>
    <row r="51" spans="1:14" ht="20.25">
      <c r="A51" s="42" t="s">
        <v>43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</row>
    <row r="52" spans="1:14" ht="20.25">
      <c r="A52" s="42" t="s">
        <v>44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1:14" ht="20.25">
      <c r="A53" s="42" t="s">
        <v>40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</row>
  </sheetData>
  <mergeCells count="13">
    <mergeCell ref="B45:H45"/>
    <mergeCell ref="B37:H37"/>
    <mergeCell ref="A51:N51"/>
    <mergeCell ref="A52:N52"/>
    <mergeCell ref="A53:N53"/>
    <mergeCell ref="A43:H43"/>
    <mergeCell ref="A35:H35"/>
    <mergeCell ref="B15:H15"/>
    <mergeCell ref="B11:G11"/>
    <mergeCell ref="C1:C3"/>
    <mergeCell ref="A1:B3"/>
    <mergeCell ref="E2:N2"/>
    <mergeCell ref="E3:N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86E1-1517-4A1C-860C-5A9708EAD08B}">
  <dimension ref="A1:K54"/>
  <sheetViews>
    <sheetView topLeftCell="A24" workbookViewId="0">
      <selection activeCell="C62" sqref="C62"/>
    </sheetView>
  </sheetViews>
  <sheetFormatPr defaultRowHeight="14.25"/>
  <cols>
    <col min="1" max="1" width="18.875" bestFit="1" customWidth="1"/>
    <col min="3" max="3" width="6.5" bestFit="1" customWidth="1"/>
    <col min="4" max="4" width="8.25" bestFit="1" customWidth="1"/>
    <col min="5" max="5" width="11.375" bestFit="1" customWidth="1"/>
    <col min="6" max="6" width="7" bestFit="1" customWidth="1"/>
    <col min="7" max="7" width="7.75" bestFit="1" customWidth="1"/>
    <col min="8" max="8" width="12" bestFit="1" customWidth="1"/>
    <col min="10" max="10" width="16" bestFit="1" customWidth="1"/>
  </cols>
  <sheetData>
    <row r="1" spans="1:10">
      <c r="A1" s="30" t="s">
        <v>28</v>
      </c>
      <c r="B1" s="31" t="s">
        <v>6</v>
      </c>
      <c r="C1" s="31"/>
      <c r="D1" s="31"/>
      <c r="E1" s="31"/>
      <c r="F1" s="31"/>
      <c r="G1" s="31"/>
      <c r="H1" s="31"/>
      <c r="I1" s="3"/>
      <c r="J1" s="4"/>
    </row>
    <row r="2" spans="1:10">
      <c r="A2" s="29"/>
      <c r="B2" s="28"/>
      <c r="C2" s="28"/>
      <c r="D2" s="28"/>
      <c r="E2" s="28"/>
      <c r="F2" s="28"/>
      <c r="G2" s="28"/>
      <c r="H2" s="28"/>
      <c r="J2" s="6"/>
    </row>
    <row r="3" spans="1:10">
      <c r="A3" s="10"/>
      <c r="B3" s="1" t="s">
        <v>7</v>
      </c>
      <c r="C3" s="1" t="s">
        <v>0</v>
      </c>
      <c r="D3" s="1" t="s">
        <v>8</v>
      </c>
      <c r="E3" s="1" t="s">
        <v>9</v>
      </c>
      <c r="F3" s="1" t="s">
        <v>10</v>
      </c>
      <c r="G3" s="1" t="s">
        <v>12</v>
      </c>
      <c r="H3" s="1" t="s">
        <v>11</v>
      </c>
      <c r="J3" s="6"/>
    </row>
    <row r="4" spans="1:10">
      <c r="A4" s="10" t="s">
        <v>0</v>
      </c>
      <c r="B4" s="1">
        <v>8</v>
      </c>
      <c r="C4" s="1">
        <v>20</v>
      </c>
      <c r="D4" s="1">
        <v>40</v>
      </c>
      <c r="E4" s="1">
        <v>20</v>
      </c>
      <c r="F4" s="1"/>
      <c r="G4" s="1"/>
      <c r="H4" s="1"/>
      <c r="J4" s="6"/>
    </row>
    <row r="5" spans="1:10">
      <c r="A5" s="10" t="s">
        <v>1</v>
      </c>
      <c r="B5" s="1">
        <v>8</v>
      </c>
      <c r="C5" s="1"/>
      <c r="D5" s="1"/>
      <c r="E5" s="1"/>
      <c r="F5" s="1">
        <v>80</v>
      </c>
      <c r="G5" s="1"/>
      <c r="H5" s="1"/>
      <c r="J5" s="6"/>
    </row>
    <row r="6" spans="1:10">
      <c r="A6" s="10" t="s">
        <v>2</v>
      </c>
      <c r="B6" s="1">
        <v>8</v>
      </c>
      <c r="C6" s="1"/>
      <c r="D6" s="1">
        <v>20</v>
      </c>
      <c r="E6" s="1"/>
      <c r="F6" s="1">
        <v>40</v>
      </c>
      <c r="G6" s="1"/>
      <c r="H6" s="1">
        <v>2</v>
      </c>
      <c r="J6" s="6"/>
    </row>
    <row r="7" spans="1:10">
      <c r="A7" s="10" t="s">
        <v>3</v>
      </c>
      <c r="B7" s="1">
        <v>8</v>
      </c>
      <c r="C7" s="1"/>
      <c r="D7" s="1"/>
      <c r="E7" s="1">
        <v>40</v>
      </c>
      <c r="F7" s="1"/>
      <c r="G7" s="1"/>
      <c r="H7" s="1">
        <v>2</v>
      </c>
      <c r="J7" s="6"/>
    </row>
    <row r="8" spans="1:10">
      <c r="A8" s="10" t="s">
        <v>4</v>
      </c>
      <c r="B8" s="1">
        <v>8</v>
      </c>
      <c r="C8" s="1">
        <v>20</v>
      </c>
      <c r="D8" s="1">
        <v>20</v>
      </c>
      <c r="E8" s="1"/>
      <c r="F8" s="1"/>
      <c r="G8" s="1"/>
      <c r="H8" s="1"/>
      <c r="J8" s="6"/>
    </row>
    <row r="9" spans="1:10">
      <c r="A9" s="10" t="s">
        <v>5</v>
      </c>
      <c r="B9" s="1">
        <v>8</v>
      </c>
      <c r="C9" s="1">
        <v>40</v>
      </c>
      <c r="D9" s="1"/>
      <c r="E9" s="1"/>
      <c r="F9" s="1"/>
      <c r="G9" s="1">
        <v>40</v>
      </c>
      <c r="H9" s="1"/>
      <c r="J9" s="6"/>
    </row>
    <row r="10" spans="1:10">
      <c r="A10" s="5"/>
      <c r="J10" s="6"/>
    </row>
    <row r="11" spans="1:10">
      <c r="A11" s="5"/>
      <c r="J11" s="6"/>
    </row>
    <row r="12" spans="1:10">
      <c r="A12" s="29" t="s">
        <v>14</v>
      </c>
      <c r="B12" s="27" t="s">
        <v>28</v>
      </c>
      <c r="C12" s="27"/>
      <c r="D12" s="27"/>
      <c r="E12" s="27"/>
      <c r="F12" s="27"/>
      <c r="G12" s="27"/>
      <c r="J12" s="6"/>
    </row>
    <row r="13" spans="1:10">
      <c r="A13" s="29"/>
      <c r="B13" s="28"/>
      <c r="C13" s="28"/>
      <c r="D13" s="28"/>
      <c r="E13" s="28"/>
      <c r="F13" s="28"/>
      <c r="G13" s="28"/>
      <c r="J13" s="6"/>
    </row>
    <row r="14" spans="1:10">
      <c r="A14" s="5"/>
      <c r="B14" s="11" t="s">
        <v>0</v>
      </c>
      <c r="C14" s="11" t="s">
        <v>1</v>
      </c>
      <c r="D14" s="11" t="s">
        <v>2</v>
      </c>
      <c r="E14" s="11" t="s">
        <v>3</v>
      </c>
      <c r="F14" s="11" t="s">
        <v>4</v>
      </c>
      <c r="G14" s="11" t="s">
        <v>5</v>
      </c>
      <c r="H14" s="1" t="s">
        <v>26</v>
      </c>
      <c r="J14" s="6"/>
    </row>
    <row r="15" spans="1:10">
      <c r="A15" s="10" t="s">
        <v>15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0</v>
      </c>
      <c r="J15" s="6"/>
    </row>
    <row r="16" spans="1:10">
      <c r="A16" s="10" t="s">
        <v>16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0</v>
      </c>
      <c r="J16" s="6"/>
    </row>
    <row r="17" spans="1:11">
      <c r="A17" s="10" t="s">
        <v>17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J17" s="6"/>
    </row>
    <row r="18" spans="1:11">
      <c r="A18" s="10" t="s">
        <v>18</v>
      </c>
      <c r="B18" s="1">
        <v>1</v>
      </c>
      <c r="C18" s="1">
        <v>1</v>
      </c>
      <c r="D18" s="1">
        <v>1</v>
      </c>
      <c r="E18" s="1">
        <v>0</v>
      </c>
      <c r="F18" s="1">
        <v>1</v>
      </c>
      <c r="G18" s="1">
        <v>1</v>
      </c>
      <c r="H18" s="1">
        <v>0</v>
      </c>
      <c r="J18" s="6"/>
    </row>
    <row r="19" spans="1:11">
      <c r="A19" s="5"/>
      <c r="J19" s="6"/>
    </row>
    <row r="20" spans="1:11" ht="15" thickBo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2" spans="1:11" ht="15" thickBot="1"/>
    <row r="23" spans="1:11">
      <c r="A23" s="2"/>
      <c r="B23" s="3"/>
      <c r="C23" s="3"/>
      <c r="D23" s="3"/>
      <c r="E23" s="3"/>
      <c r="F23" s="3"/>
      <c r="G23" s="3"/>
      <c r="H23" s="3"/>
      <c r="I23" s="3"/>
      <c r="J23" s="3"/>
      <c r="K23" s="4"/>
    </row>
    <row r="24" spans="1:11">
      <c r="A24" s="29" t="s">
        <v>28</v>
      </c>
      <c r="B24" s="27" t="s">
        <v>6</v>
      </c>
      <c r="C24" s="27"/>
      <c r="D24" s="27"/>
      <c r="E24" s="27"/>
      <c r="F24" s="27"/>
      <c r="G24" s="27"/>
      <c r="H24" s="27"/>
      <c r="K24" s="6"/>
    </row>
    <row r="25" spans="1:11">
      <c r="A25" s="29"/>
      <c r="B25" s="28"/>
      <c r="C25" s="28"/>
      <c r="D25" s="28"/>
      <c r="E25" s="28"/>
      <c r="F25" s="28"/>
      <c r="G25" s="28"/>
      <c r="H25" s="28"/>
      <c r="K25" s="6"/>
    </row>
    <row r="26" spans="1:11">
      <c r="A26" s="10"/>
      <c r="B26" s="1" t="s">
        <v>7</v>
      </c>
      <c r="C26" s="1" t="s">
        <v>0</v>
      </c>
      <c r="D26" s="1" t="s">
        <v>8</v>
      </c>
      <c r="E26" s="1" t="s">
        <v>9</v>
      </c>
      <c r="F26" s="1" t="s">
        <v>10</v>
      </c>
      <c r="G26" s="1" t="s">
        <v>12</v>
      </c>
      <c r="H26" s="1" t="s">
        <v>11</v>
      </c>
      <c r="J26" s="1" t="s">
        <v>13</v>
      </c>
      <c r="K26" s="6"/>
    </row>
    <row r="27" spans="1:11">
      <c r="A27" s="10" t="s">
        <v>0</v>
      </c>
      <c r="B27" s="1" cm="1">
        <f t="array" ref="B27:H32">J27*B4:H9</f>
        <v>40</v>
      </c>
      <c r="C27" s="1">
        <v>100</v>
      </c>
      <c r="D27" s="1">
        <v>200</v>
      </c>
      <c r="E27" s="1">
        <v>100</v>
      </c>
      <c r="F27" s="1">
        <v>0</v>
      </c>
      <c r="G27" s="1">
        <v>0</v>
      </c>
      <c r="H27" s="1">
        <v>0</v>
      </c>
      <c r="J27" s="1">
        <f>SUM(B37:B40)</f>
        <v>5</v>
      </c>
      <c r="K27" s="6"/>
    </row>
    <row r="28" spans="1:11">
      <c r="A28" s="10" t="s">
        <v>1</v>
      </c>
      <c r="B28" s="1">
        <v>40</v>
      </c>
      <c r="C28" s="1">
        <v>0</v>
      </c>
      <c r="D28" s="1">
        <v>0</v>
      </c>
      <c r="E28" s="1">
        <v>0</v>
      </c>
      <c r="F28" s="1">
        <v>400</v>
      </c>
      <c r="G28" s="1">
        <v>0</v>
      </c>
      <c r="H28" s="1">
        <v>0</v>
      </c>
      <c r="J28" s="1">
        <f>SUM(C37:C40)</f>
        <v>5</v>
      </c>
      <c r="K28" s="6"/>
    </row>
    <row r="29" spans="1:11">
      <c r="A29" s="10" t="s">
        <v>2</v>
      </c>
      <c r="B29" s="1">
        <v>40</v>
      </c>
      <c r="C29" s="1">
        <v>0</v>
      </c>
      <c r="D29" s="1">
        <v>100</v>
      </c>
      <c r="E29" s="1">
        <v>0</v>
      </c>
      <c r="F29" s="1">
        <v>200</v>
      </c>
      <c r="G29" s="1">
        <v>0</v>
      </c>
      <c r="H29" s="1">
        <v>10</v>
      </c>
      <c r="J29" s="1">
        <f>SUM(D37:D40)</f>
        <v>5</v>
      </c>
      <c r="K29" s="6"/>
    </row>
    <row r="30" spans="1:11">
      <c r="A30" s="10" t="s">
        <v>3</v>
      </c>
      <c r="B30" s="1">
        <v>40</v>
      </c>
      <c r="C30" s="1">
        <v>0</v>
      </c>
      <c r="D30" s="1">
        <v>0</v>
      </c>
      <c r="E30" s="1">
        <v>200</v>
      </c>
      <c r="F30" s="1">
        <v>0</v>
      </c>
      <c r="G30" s="1">
        <v>0</v>
      </c>
      <c r="H30" s="1">
        <v>10</v>
      </c>
      <c r="J30" s="1">
        <f>SUM(E37:E40)</f>
        <v>5</v>
      </c>
      <c r="K30" s="6"/>
    </row>
    <row r="31" spans="1:11">
      <c r="A31" s="10" t="s">
        <v>4</v>
      </c>
      <c r="B31" s="1">
        <v>40</v>
      </c>
      <c r="C31" s="1">
        <v>100</v>
      </c>
      <c r="D31" s="1">
        <v>100</v>
      </c>
      <c r="E31" s="1">
        <v>0</v>
      </c>
      <c r="F31" s="1">
        <v>0</v>
      </c>
      <c r="G31" s="1">
        <v>0</v>
      </c>
      <c r="H31" s="1">
        <v>0</v>
      </c>
      <c r="J31" s="1">
        <f>SUM(F37:F40)</f>
        <v>5</v>
      </c>
      <c r="K31" s="6"/>
    </row>
    <row r="32" spans="1:11">
      <c r="A32" s="10" t="s">
        <v>5</v>
      </c>
      <c r="B32" s="1">
        <v>40</v>
      </c>
      <c r="C32" s="1">
        <v>200</v>
      </c>
      <c r="D32" s="1">
        <v>0</v>
      </c>
      <c r="E32" s="1">
        <v>0</v>
      </c>
      <c r="F32" s="1">
        <v>0</v>
      </c>
      <c r="G32" s="1">
        <v>200</v>
      </c>
      <c r="H32" s="1">
        <v>0</v>
      </c>
      <c r="J32" s="1">
        <f>SUM(G37:G40)</f>
        <v>5</v>
      </c>
      <c r="K32" s="6"/>
    </row>
    <row r="33" spans="1:11">
      <c r="A33" s="5"/>
      <c r="K33" s="6"/>
    </row>
    <row r="34" spans="1:11">
      <c r="A34" s="29" t="s">
        <v>14</v>
      </c>
      <c r="B34" s="27" t="s">
        <v>28</v>
      </c>
      <c r="C34" s="27"/>
      <c r="D34" s="27"/>
      <c r="E34" s="27"/>
      <c r="F34" s="27"/>
      <c r="G34" s="27"/>
      <c r="K34" s="6"/>
    </row>
    <row r="35" spans="1:11">
      <c r="A35" s="29"/>
      <c r="B35" s="28"/>
      <c r="C35" s="28"/>
      <c r="D35" s="28"/>
      <c r="E35" s="28"/>
      <c r="F35" s="28"/>
      <c r="G35" s="28"/>
      <c r="K35" s="6"/>
    </row>
    <row r="36" spans="1:11">
      <c r="A36" s="5"/>
      <c r="B36" s="11" t="s">
        <v>0</v>
      </c>
      <c r="C36" s="11" t="s">
        <v>1</v>
      </c>
      <c r="D36" s="11" t="s">
        <v>2</v>
      </c>
      <c r="E36" s="11" t="s">
        <v>3</v>
      </c>
      <c r="F36" s="11" t="s">
        <v>4</v>
      </c>
      <c r="G36" s="11" t="s">
        <v>5</v>
      </c>
      <c r="K36" s="6"/>
    </row>
    <row r="37" spans="1:11">
      <c r="A37" s="10" t="s">
        <v>15</v>
      </c>
      <c r="B37" s="1" cm="1">
        <f t="array" ref="B37:G40">Calculadora_automatica_Craft_Ar!B4:B7*Info!B15:G18</f>
        <v>5</v>
      </c>
      <c r="C37" s="1">
        <v>5</v>
      </c>
      <c r="D37" s="1">
        <v>5</v>
      </c>
      <c r="E37" s="1">
        <v>5</v>
      </c>
      <c r="F37" s="1">
        <v>5</v>
      </c>
      <c r="G37" s="1">
        <v>5</v>
      </c>
      <c r="K37" s="6"/>
    </row>
    <row r="38" spans="1:11">
      <c r="A38" s="10" t="s">
        <v>16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K38" s="6"/>
    </row>
    <row r="39" spans="1:11">
      <c r="A39" s="10" t="s">
        <v>17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K39" s="6"/>
    </row>
    <row r="40" spans="1:11">
      <c r="A40" s="10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K40" s="6"/>
    </row>
    <row r="41" spans="1:11">
      <c r="A41" s="5"/>
      <c r="K41" s="6"/>
    </row>
    <row r="42" spans="1:11">
      <c r="A42" s="5"/>
      <c r="K42" s="6"/>
    </row>
    <row r="43" spans="1:11">
      <c r="A43" s="5"/>
      <c r="K43" s="6"/>
    </row>
    <row r="44" spans="1:11">
      <c r="A44" s="5"/>
      <c r="K44" s="6"/>
    </row>
    <row r="45" spans="1:11">
      <c r="A45" s="5"/>
      <c r="K45" s="6"/>
    </row>
    <row r="46" spans="1:11" ht="15" thickBot="1">
      <c r="A46" s="7"/>
      <c r="B46" s="8"/>
      <c r="C46" s="8"/>
      <c r="D46" s="8"/>
      <c r="E46" s="8"/>
      <c r="F46" s="8"/>
      <c r="G46" s="8"/>
      <c r="H46" s="8"/>
      <c r="I46" s="8"/>
      <c r="J46" s="8"/>
      <c r="K46" s="9"/>
    </row>
    <row r="49" spans="1:8" ht="18">
      <c r="B49" s="32" t="s">
        <v>7</v>
      </c>
      <c r="C49" s="32" t="s">
        <v>19</v>
      </c>
      <c r="D49" s="32" t="s">
        <v>8</v>
      </c>
      <c r="E49" s="32" t="s">
        <v>20</v>
      </c>
      <c r="F49" s="32" t="s">
        <v>10</v>
      </c>
      <c r="G49" s="32" t="s">
        <v>12</v>
      </c>
      <c r="H49" s="32" t="s">
        <v>11</v>
      </c>
    </row>
    <row r="50" spans="1:8">
      <c r="A50" s="1" t="s">
        <v>32</v>
      </c>
      <c r="B50" s="1">
        <f>Calculadora_automatica_Craft_Ar!B17</f>
        <v>240</v>
      </c>
      <c r="C50" s="1">
        <f>Calculadora_automatica_Craft_Ar!C17</f>
        <v>400</v>
      </c>
      <c r="D50" s="1">
        <f>Calculadora_automatica_Craft_Ar!D17</f>
        <v>400</v>
      </c>
      <c r="E50" s="1">
        <f>Calculadora_automatica_Craft_Ar!E17</f>
        <v>300</v>
      </c>
      <c r="F50" s="1">
        <f>Calculadora_automatica_Craft_Ar!F17</f>
        <v>600</v>
      </c>
      <c r="G50" s="1">
        <f>Calculadora_automatica_Craft_Ar!G17</f>
        <v>200</v>
      </c>
      <c r="H50" s="1">
        <f>Calculadora_automatica_Craft_Ar!H17</f>
        <v>20</v>
      </c>
    </row>
    <row r="51" spans="1:8">
      <c r="A51" s="1" t="s">
        <v>33</v>
      </c>
      <c r="B51" s="1">
        <f>Calculadora_automatica_Craft_Ar!B18</f>
        <v>240</v>
      </c>
      <c r="C51" s="1">
        <f>Calculadora_automatica_Craft_Ar!C18</f>
        <v>40</v>
      </c>
      <c r="D51" s="1">
        <f>Calculadora_automatica_Craft_Ar!D18</f>
        <v>40</v>
      </c>
      <c r="E51" s="1">
        <f>Calculadora_automatica_Craft_Ar!E18</f>
        <v>30</v>
      </c>
      <c r="F51" s="1">
        <f>Calculadora_automatica_Craft_Ar!F18</f>
        <v>60</v>
      </c>
      <c r="G51" s="1">
        <f>Calculadora_automatica_Craft_Ar!G18</f>
        <v>20</v>
      </c>
      <c r="H51" s="1">
        <f>Calculadora_automatica_Craft_Ar!H18</f>
        <v>20</v>
      </c>
    </row>
    <row r="52" spans="1:8">
      <c r="A52" s="1" t="s">
        <v>29</v>
      </c>
      <c r="B52" s="35" cm="1">
        <f t="array" ref="B52">IF(Calculadora_automatica_Craft_Ar!B39="",0,SUM(--_xlfn.TEXTSPLIT(Calculadora_automatica_Craft_Ar!B39,"+")))</f>
        <v>493</v>
      </c>
      <c r="C52" s="35" cm="1">
        <f t="array" ref="C52">IF(Calculadora_automatica_Craft_Ar!C39="",0,SUM(--_xlfn.TEXTSPLIT(Calculadora_automatica_Craft_Ar!C39,"+")))</f>
        <v>0</v>
      </c>
      <c r="D52" s="35" cm="1">
        <f t="array" ref="D52">IF(Calculadora_automatica_Craft_Ar!D39="",0,SUM(--_xlfn.TEXTSPLIT(Calculadora_automatica_Craft_Ar!D39,"+")))</f>
        <v>494</v>
      </c>
      <c r="E52" s="35" cm="1">
        <f t="array" ref="E52">IF(Calculadora_automatica_Craft_Ar!E39="",0,SUM(--_xlfn.TEXTSPLIT(Calculadora_automatica_Craft_Ar!E39,"+")))</f>
        <v>0</v>
      </c>
      <c r="F52" s="35" cm="1">
        <f t="array" ref="F52">IF(Calculadora_automatica_Craft_Ar!F39="",0,SUM(--_xlfn.TEXTSPLIT(Calculadora_automatica_Craft_Ar!F39,"+")))</f>
        <v>493</v>
      </c>
      <c r="G52" s="35" cm="1">
        <f t="array" ref="G52">IF(Calculadora_automatica_Craft_Ar!G39="",0,SUM(--_xlfn.TEXTSPLIT(Calculadora_automatica_Craft_Ar!G39,"+")))</f>
        <v>200</v>
      </c>
      <c r="H52" s="35" cm="1">
        <f t="array" ref="H52">IF(Calculadora_automatica_Craft_Ar!H39="",0,SUM(--_xlfn.TEXTSPLIT(Calculadora_automatica_Craft_Ar!H39,"+")))</f>
        <v>0</v>
      </c>
    </row>
    <row r="53" spans="1:8">
      <c r="A53" s="34" t="s">
        <v>34</v>
      </c>
      <c r="B53" s="35" cm="1">
        <f t="array" ref="B53">IF(Calculadora_automatica_Craft_Ar!B47="",0,SUM(--_xlfn.TEXTSPLIT(Calculadora_automatica_Craft_Ar!B47,"+")))</f>
        <v>0</v>
      </c>
      <c r="C53" s="35" cm="1">
        <f t="array" ref="C53">IF(Calculadora_automatica_Craft_Ar!C47="",0,SUM(--_xlfn.TEXTSPLIT(Calculadora_automatica_Craft_Ar!C47,"+")))</f>
        <v>0</v>
      </c>
      <c r="D53" s="35" cm="1">
        <f t="array" ref="D53">IF(Calculadora_automatica_Craft_Ar!D47="",0,SUM(--_xlfn.TEXTSPLIT(Calculadora_automatica_Craft_Ar!D47,"+")))</f>
        <v>0</v>
      </c>
      <c r="E53" s="35" cm="1">
        <f t="array" ref="E53">IF(Calculadora_automatica_Craft_Ar!E47="",0,SUM(--_xlfn.TEXTSPLIT(Calculadora_automatica_Craft_Ar!E47,"+")))</f>
        <v>0</v>
      </c>
      <c r="F53" s="35" cm="1">
        <f t="array" ref="F53">IF(Calculadora_automatica_Craft_Ar!F47="",0,SUM(--_xlfn.TEXTSPLIT(Calculadora_automatica_Craft_Ar!F47,"+")))</f>
        <v>0</v>
      </c>
      <c r="G53" s="35" cm="1">
        <f t="array" ref="G53">IF(Calculadora_automatica_Craft_Ar!G47="",0,SUM(--_xlfn.TEXTSPLIT(Calculadora_automatica_Craft_Ar!G47,"+")))</f>
        <v>0</v>
      </c>
      <c r="H53" s="35" cm="1">
        <f t="array" ref="H53">IF(Calculadora_automatica_Craft_Ar!H47="",0,SUM(--_xlfn.TEXTSPLIT(Calculadora_automatica_Craft_Ar!H47,"+")))</f>
        <v>0</v>
      </c>
    </row>
    <row r="54" spans="1:8">
      <c r="A54" s="1"/>
      <c r="B54" s="1"/>
      <c r="C54" s="1"/>
      <c r="D54" s="1"/>
      <c r="E54" s="1"/>
      <c r="F54" s="33"/>
      <c r="G54" s="1"/>
      <c r="H54" s="1"/>
    </row>
  </sheetData>
  <mergeCells count="8">
    <mergeCell ref="B34:G35"/>
    <mergeCell ref="A34:A35"/>
    <mergeCell ref="A1:A2"/>
    <mergeCell ref="B1:H2"/>
    <mergeCell ref="A12:A13"/>
    <mergeCell ref="B12:G13"/>
    <mergeCell ref="A24:A25"/>
    <mergeCell ref="B24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Calculadora_automatica_Craft_Ar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Abrantes</dc:creator>
  <cp:lastModifiedBy>Pedro Abrantes</cp:lastModifiedBy>
  <dcterms:created xsi:type="dcterms:W3CDTF">2025-11-23T00:11:00Z</dcterms:created>
  <dcterms:modified xsi:type="dcterms:W3CDTF">2025-11-23T10:53:53Z</dcterms:modified>
</cp:coreProperties>
</file>